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T8582 SMPS" sheetId="1" r:id="rId4"/>
  </sheets>
  <definedNames/>
  <calcPr/>
</workbook>
</file>

<file path=xl/sharedStrings.xml><?xml version="1.0" encoding="utf-8"?>
<sst xmlns="http://schemas.openxmlformats.org/spreadsheetml/2006/main" count="48" uniqueCount="29">
  <si>
    <t>Boost Supply +12V -&gt; +15V</t>
  </si>
  <si>
    <t>Vin</t>
  </si>
  <si>
    <t>Vout</t>
  </si>
  <si>
    <t>Fosc</t>
  </si>
  <si>
    <t>DC</t>
  </si>
  <si>
    <t>L1</t>
  </si>
  <si>
    <t>Ltyp</t>
  </si>
  <si>
    <t>Picked 6.8uH</t>
  </si>
  <si>
    <t>Lmin</t>
  </si>
  <si>
    <t>Lmax</t>
  </si>
  <si>
    <t>I ripple</t>
  </si>
  <si>
    <t>I_OUT</t>
  </si>
  <si>
    <t>D1</t>
  </si>
  <si>
    <t>Using PDS360Q-13; 60V 3A</t>
  </si>
  <si>
    <t>Cout</t>
  </si>
  <si>
    <t>Using 10uF</t>
  </si>
  <si>
    <t>RDSon for PMOS is 8mOhm</t>
  </si>
  <si>
    <t>Cin</t>
  </si>
  <si>
    <t>Rfbx</t>
  </si>
  <si>
    <t>Using 165kOhm</t>
  </si>
  <si>
    <t>Rt</t>
  </si>
  <si>
    <t>Using 53.6kOhm</t>
  </si>
  <si>
    <t>Inverting Supply +12V -&gt; -15V</t>
  </si>
  <si>
    <t>Picked 15uH</t>
  </si>
  <si>
    <t>Using PD3S230H; 30V 2A</t>
  </si>
  <si>
    <t>C1</t>
  </si>
  <si>
    <t>Using 2.2uF ; 50V</t>
  </si>
  <si>
    <t>GCJ31CR71H225KA12L</t>
  </si>
  <si>
    <t>Using 180kOhm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</si>
</sst>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1" xfId="0" applyAlignment="1" applyBorder="1" applyFont="1" applyNumberForma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1" xfId="0" applyFont="1" applyNumberFormat="1"/>
    <xf borderId="0" fillId="0" fontId="1" numFmtId="11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590550</xdr:colOff>
      <xdr:row>1</xdr:row>
      <xdr:rowOff>66675</xdr:rowOff>
    </xdr:from>
    <xdr:ext cx="6600825" cy="7839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314325</xdr:colOff>
      <xdr:row>1</xdr:row>
      <xdr:rowOff>114300</xdr:rowOff>
    </xdr:from>
    <xdr:ext cx="6600825" cy="78390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</cols>
  <sheetData>
    <row r="2">
      <c r="A2" s="1" t="s">
        <v>0</v>
      </c>
    </row>
    <row r="3">
      <c r="A3" s="2" t="s">
        <v>1</v>
      </c>
      <c r="B3" s="3">
        <v>12.0</v>
      </c>
    </row>
    <row r="4">
      <c r="A4" s="2" t="s">
        <v>2</v>
      </c>
      <c r="B4" s="3">
        <v>15.0</v>
      </c>
    </row>
    <row r="5">
      <c r="A5" s="2" t="s">
        <v>3</v>
      </c>
      <c r="B5" s="4">
        <v>1500000.0</v>
      </c>
    </row>
    <row r="6">
      <c r="A6" s="5"/>
    </row>
    <row r="7">
      <c r="A7" s="1" t="s">
        <v>4</v>
      </c>
      <c r="C7" s="6">
        <f>(B4-B3+0.5)/(B4+0.5-0.3)</f>
        <v>0.2302631579</v>
      </c>
    </row>
    <row r="8">
      <c r="A8" s="1" t="s">
        <v>5</v>
      </c>
      <c r="B8" s="7" t="s">
        <v>6</v>
      </c>
      <c r="C8" s="8">
        <f>((B3-0.3)*C7)/(B5)</f>
        <v>0.000001796052632</v>
      </c>
      <c r="D8" s="7" t="s">
        <v>7</v>
      </c>
    </row>
    <row r="9">
      <c r="A9" s="5"/>
      <c r="B9" s="7" t="s">
        <v>8</v>
      </c>
      <c r="C9" s="8">
        <f>((B3-0.3)*(2*C7-1))/(1.7*B5*(1-C7))</f>
        <v>-0.000003215686275</v>
      </c>
      <c r="D9" s="9">
        <v>6.8E-6</v>
      </c>
    </row>
    <row r="10">
      <c r="A10" s="5"/>
      <c r="B10" s="7" t="s">
        <v>9</v>
      </c>
      <c r="C10" s="8">
        <f>((B3-0.3)*C7)/(0.18*B5)</f>
        <v>0.000009978070175</v>
      </c>
    </row>
    <row r="11">
      <c r="A11" s="1" t="s">
        <v>10</v>
      </c>
      <c r="D11" s="10">
        <f>((B3-0.3)*C7)/(B5*D9)</f>
        <v>0.264125387</v>
      </c>
    </row>
    <row r="12">
      <c r="A12" s="1" t="s">
        <v>11</v>
      </c>
      <c r="D12" s="6">
        <f>(3-(D11/2))*(1-C7)</f>
        <v>2.207557006</v>
      </c>
    </row>
    <row r="13">
      <c r="A13" s="1" t="s">
        <v>12</v>
      </c>
      <c r="D13" s="7" t="s">
        <v>13</v>
      </c>
    </row>
    <row r="14">
      <c r="A14" s="1" t="s">
        <v>14</v>
      </c>
      <c r="B14" s="8">
        <f>(D12*C7)/(B5*(0.01*B4-0.5*D12*0.008))</f>
        <v>0.000002400509402</v>
      </c>
      <c r="C14" s="7" t="s">
        <v>15</v>
      </c>
      <c r="D14" s="7" t="s">
        <v>16</v>
      </c>
    </row>
    <row r="15">
      <c r="A15" s="1" t="s">
        <v>17</v>
      </c>
      <c r="B15" s="8">
        <f>((3*C7)/(50*B5*0.005*B3))+((D11)/(8*B5*0.005*B3))</f>
        <v>0.0000005203495872</v>
      </c>
      <c r="C15" s="7" t="s">
        <v>15</v>
      </c>
    </row>
    <row r="16">
      <c r="A16" s="1" t="s">
        <v>18</v>
      </c>
      <c r="B16" s="8">
        <f>(B4-1.204)/(0.0000833)</f>
        <v>165618.2473</v>
      </c>
      <c r="C16" s="7" t="s">
        <v>19</v>
      </c>
    </row>
    <row r="17">
      <c r="A17" s="1" t="s">
        <v>20</v>
      </c>
      <c r="B17" s="6">
        <f>(81.6/1.5)-1</f>
        <v>53.4</v>
      </c>
      <c r="C17" s="7" t="s">
        <v>21</v>
      </c>
    </row>
    <row r="21">
      <c r="A21" s="1" t="s">
        <v>22</v>
      </c>
    </row>
    <row r="22">
      <c r="A22" s="2" t="s">
        <v>1</v>
      </c>
      <c r="B22" s="3">
        <v>12.0</v>
      </c>
    </row>
    <row r="23">
      <c r="A23" s="2" t="s">
        <v>2</v>
      </c>
      <c r="B23" s="3">
        <v>-15.0</v>
      </c>
    </row>
    <row r="24">
      <c r="A24" s="2" t="s">
        <v>3</v>
      </c>
      <c r="B24" s="4">
        <v>1500000.0</v>
      </c>
    </row>
    <row r="25">
      <c r="A25" s="5"/>
    </row>
    <row r="26">
      <c r="A26" s="1" t="s">
        <v>4</v>
      </c>
      <c r="C26" s="6">
        <f>(ABS(B23)+0.5)/(B22+ABS(B23)+0.5-0.3)</f>
        <v>0.5698529412</v>
      </c>
    </row>
    <row r="27">
      <c r="A27" s="1" t="s">
        <v>5</v>
      </c>
      <c r="B27" s="7" t="s">
        <v>6</v>
      </c>
      <c r="C27" s="8">
        <f>((B22-0.3)*C26)/(B24)</f>
        <v>0.000004444852941</v>
      </c>
      <c r="D27" s="7" t="s">
        <v>23</v>
      </c>
    </row>
    <row r="28">
      <c r="A28" s="5"/>
      <c r="B28" s="7" t="s">
        <v>8</v>
      </c>
      <c r="C28" s="8">
        <f>((B22-0.3)*(2*C26-1))/(1.7*B24*(1-C26))</f>
        <v>0.000001490196078</v>
      </c>
      <c r="D28" s="9">
        <v>1.5E-5</v>
      </c>
    </row>
    <row r="29">
      <c r="A29" s="5"/>
      <c r="B29" s="7" t="s">
        <v>9</v>
      </c>
      <c r="C29" s="8">
        <f>((B22-0.3)*C26)/(0.18*B24)</f>
        <v>0.00002469362745</v>
      </c>
    </row>
    <row r="30">
      <c r="A30" s="1" t="s">
        <v>10</v>
      </c>
      <c r="D30" s="10">
        <f>((B22-0.3)*C26)/(B24*D28)</f>
        <v>0.2963235294</v>
      </c>
    </row>
    <row r="31">
      <c r="A31" s="1" t="s">
        <v>11</v>
      </c>
      <c r="D31" s="6">
        <f>(3-(D30/2))*(1-C26)</f>
        <v>1.226709829</v>
      </c>
    </row>
    <row r="32">
      <c r="A32" s="1" t="s">
        <v>12</v>
      </c>
      <c r="D32" s="7" t="s">
        <v>24</v>
      </c>
    </row>
    <row r="33">
      <c r="A33" s="1" t="s">
        <v>25</v>
      </c>
      <c r="C33" s="7"/>
      <c r="D33" s="7" t="s">
        <v>26</v>
      </c>
      <c r="E33" s="7" t="s">
        <v>27</v>
      </c>
    </row>
    <row r="34">
      <c r="A34" s="1" t="s">
        <v>14</v>
      </c>
      <c r="B34" s="8">
        <f>((D30)/(8*B24*0.005*ABS(B23)))</f>
        <v>0.000000329248366</v>
      </c>
      <c r="C34" s="7" t="s">
        <v>15</v>
      </c>
    </row>
    <row r="35">
      <c r="A35" s="1" t="s">
        <v>17</v>
      </c>
      <c r="B35" s="8">
        <f>((3*C26)/(50*B24*0.005*B22))+((D30)/(8*B24*0.005*B22))</f>
        <v>0.0000007914624183</v>
      </c>
      <c r="C35" s="7" t="s">
        <v>15</v>
      </c>
    </row>
    <row r="36">
      <c r="A36" s="1" t="s">
        <v>18</v>
      </c>
      <c r="B36" s="8">
        <f>(ABS(B23)+0.007)/(0.0000833)</f>
        <v>180156.0624</v>
      </c>
      <c r="C36" s="7" t="s">
        <v>28</v>
      </c>
    </row>
    <row r="37">
      <c r="A37" s="1" t="s">
        <v>20</v>
      </c>
      <c r="B37" s="6">
        <f>(81.6/1.5)-1</f>
        <v>53.4</v>
      </c>
      <c r="C37" s="7" t="s">
        <v>21</v>
      </c>
    </row>
  </sheetData>
  <drawing r:id="rId1"/>
</worksheet>
</file>